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080"/>
  </bookViews>
  <sheets>
    <sheet name="WSM (Mo hinh trong so)" sheetId="1" r:id="rId1"/>
    <sheet name="Tai chinh (NPV_ROI_PB)" sheetId="2" r:id="rId2"/>
    <sheet name="WSM (Theo chuc nang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<sst xmlns="http://schemas.openxmlformats.org/spreadsheetml/2006/main" count="67" uniqueCount="59">
  <si>
    <t>WSM – Chấm điểm dự án theo tiêu chí (có công thức)</t>
  </si>
  <si>
    <t>Tiêu chí</t>
  </si>
  <si>
    <t>Trọng số (%)</t>
  </si>
  <si>
    <t>Dự án 1</t>
  </si>
  <si>
    <t>Dự án 2</t>
  </si>
  <si>
    <t>Dự án 3</t>
  </si>
  <si>
    <t>Điểm × Trọng số (DA1)</t>
  </si>
  <si>
    <t>Điểm × Trọng số (DA2)</t>
  </si>
  <si>
    <t>Điểm × Trọng số (DA3)</t>
  </si>
  <si>
    <t>Ghi chú</t>
  </si>
  <si>
    <t>Phù hợp mục tiêu kinh doanh</t>
  </si>
  <si>
    <t>Mức độ hỗ trợ KPI/mục tiêu</t>
  </si>
  <si>
    <t>Có nhà tài trợ nội bộ mạnh</t>
  </si>
  <si>
    <t>Sponsor/ủng hộ từ lãnh đạo</t>
  </si>
  <si>
    <t>Được người dùng ủng hộ</t>
  </si>
  <si>
    <t>Nhu cầu/thị trường</t>
  </si>
  <si>
    <t>Công nghệ thực tiễn/đội quen</t>
  </si>
  <si>
    <t>Độ chín công nghệ</t>
  </si>
  <si>
    <t>Hoàn thành ≤ 1 năm</t>
  </si>
  <si>
    <t>Tiến độ dự kiến</t>
  </si>
  <si>
    <t>NPV dương/hiệu quả tài chính</t>
  </si>
  <si>
    <t>Lợi ích tài chính</t>
  </si>
  <si>
    <t>Rủi ro thấp (scope/time/cost)</t>
  </si>
  <si>
    <t>Đánh giá tổng thể rủi ro</t>
  </si>
  <si>
    <t>TỔNG (Σ Trọng số và Σ Điểm × Trọng số)</t>
  </si>
  <si>
    <t>Xếp hạng theo WSM (cao → thấp)</t>
  </si>
  <si>
    <t>Điểm DA1</t>
  </si>
  <si>
    <t>Điểm DA2</t>
  </si>
  <si>
    <t>Điểm DA3</t>
  </si>
  <si>
    <t>Hạng DA1</t>
  </si>
  <si>
    <t>Hạng DA2</t>
  </si>
  <si>
    <t>Hạng DA3</t>
  </si>
  <si>
    <t>Phân tích tài chính (có công thức) – NPV, ROI, Payback</t>
  </si>
  <si>
    <t>Tỷ lệ chiết khấu (r)</t>
  </si>
  <si>
    <t>Số năm (n)</t>
  </si>
  <si>
    <t>TỔNG/Lũy kế &amp; Chỉ số</t>
  </si>
  <si>
    <t>Tổng Lợi ích quy đổi</t>
  </si>
  <si>
    <t>Tổng Chi phí quy đổi</t>
  </si>
  <si>
    <t>NPV</t>
  </si>
  <si>
    <t>ROI</t>
  </si>
  <si>
    <t>Payback (năm đạt ≥0)</t>
  </si>
  <si>
    <t>WSM – Ưu tiên THEO CHỨC NĂNG (có công thức)</t>
  </si>
  <si>
    <t>Chức năng</t>
  </si>
  <si>
    <t>Điểm (0–100)</t>
  </si>
  <si>
    <t>Điểm × Trọng số</t>
  </si>
  <si>
    <t/>
  </si>
  <si>
    <t>Đặt bàn trực tuyến</t>
  </si>
  <si>
    <t>Lõi nghiệp vụ</t>
  </si>
  <si>
    <t>Quản lý thực đơn</t>
  </si>
  <si>
    <t>Tần suất sử dụng cao</t>
  </si>
  <si>
    <t>Thanh toán QR</t>
  </si>
  <si>
    <t>Tăng tỷ lệ chuyển đổi</t>
  </si>
  <si>
    <t>Quản trị nhà hàng</t>
  </si>
  <si>
    <t>Báo cáo/tồn kho</t>
  </si>
  <si>
    <t>Thông báo/Email</t>
  </si>
  <si>
    <t>CSKH</t>
  </si>
  <si>
    <t>Đánh giá/Review</t>
  </si>
  <si>
    <t>Tăng trust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</si>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</sst>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10" fontId="0" fillId="0" borderId="0" xfId="0" applyNumberFormat="1"/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58684210526316"/>
          <c:y val="0.326388888888889"/>
          <c:w val="0.900184210526316"/>
          <c:h val="0.6056481481481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'WSM (Mo hinh trong so)'!$B$10:$E$10</c:f>
              <c:numCache>
                <c:formatCode>General</c:formatCode>
                <c:ptCount val="4"/>
                <c:pt idx="0">
                  <c:v>100</c:v>
                </c:pt>
                <c:pt idx="1">
                  <c:v>60</c:v>
                </c:pt>
                <c:pt idx="2">
                  <c:v>80</c:v>
                </c:pt>
                <c:pt idx="3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34033518"/>
        <c:axId val="326903732"/>
      </c:barChart>
      <c:catAx>
        <c:axId val="6340335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6903732"/>
        <c:crosses val="autoZero"/>
        <c:auto val="1"/>
        <c:lblAlgn val="ctr"/>
        <c:lblOffset val="100"/>
        <c:noMultiLvlLbl val="0"/>
      </c:catAx>
      <c:valAx>
        <c:axId val="3269037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40335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127000</xdr:colOff>
      <xdr:row>16</xdr:row>
      <xdr:rowOff>19050</xdr:rowOff>
    </xdr:from>
    <xdr:to>
      <xdr:col>6</xdr:col>
      <xdr:colOff>622300</xdr:colOff>
      <xdr:row>31</xdr:row>
      <xdr:rowOff>0</xdr:rowOff>
    </xdr:to>
    <xdr:graphicFrame>
      <xdr:nvGraphicFramePr>
        <xdr:cNvPr id="4" name="Chart 3"/>
        <xdr:cNvGraphicFramePr/>
      </xdr:nvGraphicFramePr>
      <xdr:xfrm>
        <a:off x="2082800" y="33845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zoomScale="85" zoomScaleNormal="85" workbookViewId="0">
      <pane ySplit="2" topLeftCell="A3" activePane="bottomLeft" state="frozen"/>
      <selection/>
      <selection pane="bottomLeft" activeCell="H16" sqref="H16"/>
    </sheetView>
  </sheetViews>
  <sheetFormatPr defaultColWidth="9" defaultRowHeight="14.5"/>
  <cols>
    <col min="1" max="1" width="28" customWidth="1"/>
    <col min="2" max="2" width="14" customWidth="1"/>
    <col min="3" max="5" width="10" customWidth="1"/>
    <col min="6" max="8" width="18" customWidth="1"/>
    <col min="9" max="9" width="28" customWidth="1"/>
  </cols>
  <sheetData>
    <row r="1" ht="18.5" spans="1:1">
      <c r="A1" s="1" t="s">
        <v>0</v>
      </c>
    </row>
    <row r="2" ht="29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" t="s">
        <v>10</v>
      </c>
      <c r="B3" s="2">
        <v>25</v>
      </c>
      <c r="C3" s="2">
        <v>90</v>
      </c>
      <c r="D3" s="2">
        <v>90</v>
      </c>
      <c r="E3" s="2">
        <v>50</v>
      </c>
      <c r="F3" s="2">
        <f t="shared" ref="F3:F9" si="0">B3/100*C3</f>
        <v>22.5</v>
      </c>
      <c r="G3" s="2">
        <f t="shared" ref="G3:G9" si="1">B3/100*D3</f>
        <v>22.5</v>
      </c>
      <c r="H3" s="2">
        <f t="shared" ref="H3:H9" si="2">B3/100*E3</f>
        <v>12.5</v>
      </c>
      <c r="I3" s="2" t="s">
        <v>11</v>
      </c>
    </row>
    <row r="4" spans="1:9">
      <c r="A4" s="2" t="s">
        <v>12</v>
      </c>
      <c r="B4" s="2">
        <v>15</v>
      </c>
      <c r="C4" s="2">
        <v>70</v>
      </c>
      <c r="D4" s="2">
        <v>90</v>
      </c>
      <c r="E4" s="2">
        <v>50</v>
      </c>
      <c r="F4" s="2">
        <f t="shared" si="0"/>
        <v>10.5</v>
      </c>
      <c r="G4" s="2">
        <f t="shared" si="1"/>
        <v>13.5</v>
      </c>
      <c r="H4" s="2">
        <f t="shared" si="2"/>
        <v>7.5</v>
      </c>
      <c r="I4" s="2" t="s">
        <v>13</v>
      </c>
    </row>
    <row r="5" spans="1:9">
      <c r="A5" s="2" t="s">
        <v>14</v>
      </c>
      <c r="B5" s="2">
        <v>15</v>
      </c>
      <c r="C5" s="2">
        <v>50</v>
      </c>
      <c r="D5" s="2">
        <v>90</v>
      </c>
      <c r="E5" s="2">
        <v>50</v>
      </c>
      <c r="F5" s="2">
        <f t="shared" si="0"/>
        <v>7.5</v>
      </c>
      <c r="G5" s="2">
        <f t="shared" si="1"/>
        <v>13.5</v>
      </c>
      <c r="H5" s="2">
        <f t="shared" si="2"/>
        <v>7.5</v>
      </c>
      <c r="I5" s="2" t="s">
        <v>15</v>
      </c>
    </row>
    <row r="6" spans="1:9">
      <c r="A6" s="2" t="s">
        <v>16</v>
      </c>
      <c r="B6" s="2">
        <v>10</v>
      </c>
      <c r="C6" s="2">
        <v>25</v>
      </c>
      <c r="D6" s="2">
        <v>90</v>
      </c>
      <c r="E6" s="2">
        <v>70</v>
      </c>
      <c r="F6" s="2">
        <f t="shared" si="0"/>
        <v>2.5</v>
      </c>
      <c r="G6" s="2">
        <f t="shared" si="1"/>
        <v>9</v>
      </c>
      <c r="H6" s="2">
        <f t="shared" si="2"/>
        <v>7</v>
      </c>
      <c r="I6" s="2" t="s">
        <v>17</v>
      </c>
    </row>
    <row r="7" spans="1:9">
      <c r="A7" s="2" t="s">
        <v>18</v>
      </c>
      <c r="B7" s="2">
        <v>5</v>
      </c>
      <c r="C7" s="2">
        <v>20</v>
      </c>
      <c r="D7" s="2">
        <v>50</v>
      </c>
      <c r="E7" s="2">
        <v>90</v>
      </c>
      <c r="F7" s="2">
        <f t="shared" si="0"/>
        <v>1</v>
      </c>
      <c r="G7" s="2">
        <f t="shared" si="1"/>
        <v>2.5</v>
      </c>
      <c r="H7" s="2">
        <f t="shared" si="2"/>
        <v>4.5</v>
      </c>
      <c r="I7" s="2" t="s">
        <v>19</v>
      </c>
    </row>
    <row r="8" spans="1:9">
      <c r="A8" s="2" t="s">
        <v>20</v>
      </c>
      <c r="B8" s="2">
        <v>20</v>
      </c>
      <c r="C8" s="2">
        <v>70</v>
      </c>
      <c r="D8" s="2">
        <v>70</v>
      </c>
      <c r="E8" s="2">
        <v>50</v>
      </c>
      <c r="F8" s="2">
        <f t="shared" si="0"/>
        <v>14</v>
      </c>
      <c r="G8" s="2">
        <f t="shared" si="1"/>
        <v>14</v>
      </c>
      <c r="H8" s="2">
        <f t="shared" si="2"/>
        <v>10</v>
      </c>
      <c r="I8" s="2" t="s">
        <v>21</v>
      </c>
    </row>
    <row r="9" spans="1:9">
      <c r="A9" s="2" t="s">
        <v>22</v>
      </c>
      <c r="B9" s="2">
        <v>10</v>
      </c>
      <c r="C9" s="2">
        <v>20</v>
      </c>
      <c r="D9" s="2">
        <v>50</v>
      </c>
      <c r="E9" s="2">
        <v>90</v>
      </c>
      <c r="F9" s="2">
        <f t="shared" si="0"/>
        <v>2</v>
      </c>
      <c r="G9" s="2">
        <f t="shared" si="1"/>
        <v>5</v>
      </c>
      <c r="H9" s="2">
        <f t="shared" si="2"/>
        <v>9</v>
      </c>
      <c r="I9" s="2" t="s">
        <v>23</v>
      </c>
    </row>
    <row r="10" ht="29" spans="1:9">
      <c r="A10" s="2" t="s">
        <v>24</v>
      </c>
      <c r="B10" s="2">
        <f>SUM(B3:B9)</f>
        <v>100</v>
      </c>
      <c r="C10" s="2">
        <f>SUM(F3:F9)</f>
        <v>60</v>
      </c>
      <c r="D10" s="2">
        <f>SUM(G3:G9)</f>
        <v>80</v>
      </c>
      <c r="E10" s="2">
        <f>SUM(H3:H9)</f>
        <v>58</v>
      </c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 t="s">
        <v>25</v>
      </c>
      <c r="B12" s="4"/>
      <c r="C12" s="2" t="s">
        <v>26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31</v>
      </c>
      <c r="I12" s="2"/>
    </row>
    <row r="13" spans="1:9">
      <c r="A13" s="2"/>
      <c r="B13" s="2"/>
      <c r="C13" s="2">
        <f>C10</f>
        <v>60</v>
      </c>
      <c r="D13" s="2">
        <f>D10</f>
        <v>80</v>
      </c>
      <c r="E13" s="2">
        <f>E10</f>
        <v>58</v>
      </c>
      <c r="F13" s="2">
        <f>RANK(C10,C10:G10,0)</f>
        <v>2</v>
      </c>
      <c r="G13" s="2">
        <f>RANK(D10,C10:G10,0)</f>
        <v>1</v>
      </c>
      <c r="H13" s="2">
        <f>RANK(E10,C10:G10,0)</f>
        <v>3</v>
      </c>
      <c r="I13" s="2"/>
    </row>
  </sheetData>
  <mergeCells count="2">
    <mergeCell ref="A1:I1"/>
    <mergeCell ref="A12:B1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zoomScale="85" zoomScaleNormal="85" workbookViewId="0">
      <pane ySplit="5" topLeftCell="A6" activePane="bottomLeft" state="frozen"/>
      <selection/>
      <selection pane="bottomLeft" activeCell="D15" sqref="D15"/>
    </sheetView>
  </sheetViews>
  <sheetFormatPr defaultColWidth="9" defaultRowHeight="14.5"/>
  <cols>
    <col min="1" max="1" width="10" customWidth="1"/>
    <col min="2" max="7" width="16" customWidth="1"/>
    <col min="8" max="8" width="18" customWidth="1"/>
  </cols>
  <sheetData>
    <row r="1" ht="18.5" spans="1:1">
      <c r="A1" s="1" t="s">
        <v>32</v>
      </c>
    </row>
    <row r="3" spans="1:2">
      <c r="A3" t="s">
        <v>33</v>
      </c>
      <c r="B3" s="3">
        <v>0.1</v>
      </c>
    </row>
    <row r="4" spans="1:2">
      <c r="A4" t="s">
        <v>34</v>
      </c>
      <c r="B4">
        <v>5</v>
      </c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>
        <v>0</v>
      </c>
      <c r="B6" s="2">
        <v>120000000</v>
      </c>
      <c r="C6" s="2">
        <v>0</v>
      </c>
      <c r="D6" s="2">
        <f>1/(1+$B$3)^A6</f>
        <v>1</v>
      </c>
      <c r="E6" s="2">
        <f t="shared" ref="E6:E11" si="0">B6*D6</f>
        <v>120000000</v>
      </c>
      <c r="F6" s="2">
        <f t="shared" ref="F6:F11" si="1">C6*D6</f>
        <v>0</v>
      </c>
      <c r="G6" s="2">
        <f t="shared" ref="G6:G11" si="2">C6-B6</f>
        <v>-120000000</v>
      </c>
      <c r="H6" s="2">
        <f>G6</f>
        <v>-120000000</v>
      </c>
    </row>
    <row r="7" spans="1:8">
      <c r="A7" s="2">
        <v>1</v>
      </c>
      <c r="B7" s="2">
        <v>40000000</v>
      </c>
      <c r="C7" s="2">
        <v>60000000</v>
      </c>
      <c r="D7" s="2">
        <f>1/(1+$B$3)^A7</f>
        <v>0.909090909090909</v>
      </c>
      <c r="E7" s="2">
        <f t="shared" si="0"/>
        <v>36363636.3636364</v>
      </c>
      <c r="F7" s="2">
        <f t="shared" si="1"/>
        <v>54545454.5454545</v>
      </c>
      <c r="G7" s="2">
        <f t="shared" si="2"/>
        <v>20000000</v>
      </c>
      <c r="H7" s="2">
        <f>H6+G7</f>
        <v>-100000000</v>
      </c>
    </row>
    <row r="8" spans="1:8">
      <c r="A8" s="2">
        <v>2</v>
      </c>
      <c r="B8" s="2">
        <v>15000000</v>
      </c>
      <c r="C8" s="2">
        <v>80000000</v>
      </c>
      <c r="D8" s="2">
        <f>1/(1+$B$3)^A8</f>
        <v>0.826446280991735</v>
      </c>
      <c r="E8" s="2">
        <f t="shared" si="0"/>
        <v>12396694.214876</v>
      </c>
      <c r="F8" s="2">
        <f t="shared" si="1"/>
        <v>66115702.4793388</v>
      </c>
      <c r="G8" s="2">
        <f t="shared" si="2"/>
        <v>65000000</v>
      </c>
      <c r="H8" s="2">
        <f>H7+G8</f>
        <v>-35000000</v>
      </c>
    </row>
    <row r="9" spans="1:8">
      <c r="A9" s="2">
        <v>3</v>
      </c>
      <c r="B9" s="2">
        <v>12000000</v>
      </c>
      <c r="C9" s="2">
        <v>100000000</v>
      </c>
      <c r="D9" s="2">
        <f>1/(1+$B$3)^A9</f>
        <v>0.751314800901578</v>
      </c>
      <c r="E9" s="2">
        <f t="shared" si="0"/>
        <v>9015777.61081893</v>
      </c>
      <c r="F9" s="2">
        <f t="shared" si="1"/>
        <v>75131480.0901577</v>
      </c>
      <c r="G9" s="2">
        <f t="shared" si="2"/>
        <v>88000000</v>
      </c>
      <c r="H9" s="2">
        <f>H8+G9</f>
        <v>53000000</v>
      </c>
    </row>
    <row r="10" spans="1:8">
      <c r="A10" s="2">
        <v>4</v>
      </c>
      <c r="B10" s="2">
        <v>12000000</v>
      </c>
      <c r="C10" s="2">
        <v>120000000</v>
      </c>
      <c r="D10" s="2">
        <f>1/(1+$B$3)^A10</f>
        <v>0.683013455365071</v>
      </c>
      <c r="E10" s="2">
        <f t="shared" si="0"/>
        <v>8196161.46438085</v>
      </c>
      <c r="F10" s="2">
        <f t="shared" si="1"/>
        <v>81961614.6438085</v>
      </c>
      <c r="G10" s="2">
        <f t="shared" si="2"/>
        <v>108000000</v>
      </c>
      <c r="H10" s="2">
        <f>H9+G10</f>
        <v>161000000</v>
      </c>
    </row>
    <row r="11" spans="1:8">
      <c r="A11" s="2">
        <v>5</v>
      </c>
      <c r="B11" s="2">
        <v>12000000</v>
      </c>
      <c r="C11" s="2">
        <v>140000000</v>
      </c>
      <c r="D11" s="2">
        <f>1/(1+$B$3)^A11</f>
        <v>0.620921323059155</v>
      </c>
      <c r="E11" s="2">
        <f t="shared" si="0"/>
        <v>7451055.87670986</v>
      </c>
      <c r="F11" s="2">
        <f t="shared" si="1"/>
        <v>86928985.2282817</v>
      </c>
      <c r="G11" s="2">
        <f t="shared" si="2"/>
        <v>128000000</v>
      </c>
      <c r="H11" s="2">
        <f>H10+G11</f>
        <v>289000000</v>
      </c>
    </row>
    <row r="12" spans="1:8">
      <c r="A12" s="2"/>
      <c r="B12" s="2"/>
      <c r="C12" s="2"/>
      <c r="D12" s="2"/>
      <c r="E12" s="2"/>
      <c r="F12" s="2"/>
      <c r="G12" s="2"/>
      <c r="H12" s="2"/>
    </row>
    <row r="13" ht="29" spans="1:8">
      <c r="A13" s="2" t="s">
        <v>35</v>
      </c>
      <c r="B13" s="4"/>
      <c r="C13" s="2" t="s">
        <v>36</v>
      </c>
      <c r="D13" s="2">
        <f>SUM(F6:F11)</f>
        <v>364683236.987041</v>
      </c>
      <c r="E13" s="2"/>
      <c r="F13" s="2"/>
      <c r="G13" s="2"/>
      <c r="H13" s="2"/>
    </row>
    <row r="14" ht="29" spans="1:8">
      <c r="A14" s="2"/>
      <c r="B14" s="2"/>
      <c r="C14" s="2" t="s">
        <v>37</v>
      </c>
      <c r="D14" s="2">
        <f>SUM(E6:E11)</f>
        <v>193423325.530422</v>
      </c>
      <c r="E14" s="2"/>
      <c r="F14" s="2"/>
      <c r="G14" s="2"/>
      <c r="H14" s="2"/>
    </row>
    <row r="15" spans="1:8">
      <c r="A15" s="2"/>
      <c r="B15" s="2"/>
      <c r="C15" s="2" t="s">
        <v>38</v>
      </c>
      <c r="D15" s="2">
        <f>SUM(F6:F11)-SUM(E6:E11)</f>
        <v>171259911.456619</v>
      </c>
      <c r="E15" s="2"/>
      <c r="F15" s="2"/>
      <c r="G15" s="2"/>
      <c r="H15" s="2"/>
    </row>
    <row r="16" spans="1:8">
      <c r="A16" s="2"/>
      <c r="B16" s="2"/>
      <c r="C16" s="2" t="s">
        <v>39</v>
      </c>
      <c r="D16" s="2">
        <f>(SUM(F6:F11)-SUM(E6:E11))/SUM(E6:E11)</f>
        <v>0.885414988016443</v>
      </c>
      <c r="E16" s="2"/>
      <c r="F16" s="2"/>
      <c r="G16" s="2"/>
      <c r="H16" s="2"/>
    </row>
    <row r="17" ht="29" spans="1:8">
      <c r="A17" s="2"/>
      <c r="B17" s="2"/>
      <c r="C17" s="2" t="s">
        <v>40</v>
      </c>
      <c r="D17" s="2" t="str">
        <f>IFERROR(MATCH(TRUE,H6:H11&gt;=0,0)-1,"Chưa hoàn vốn")</f>
        <v>Chưa hoàn vốn</v>
      </c>
      <c r="E17" s="2"/>
      <c r="F17" s="2"/>
      <c r="G17" s="2"/>
      <c r="H17" s="2"/>
    </row>
  </sheetData>
  <mergeCells count="2">
    <mergeCell ref="A1:J1"/>
    <mergeCell ref="A13:B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:F1"/>
    </sheetView>
  </sheetViews>
  <sheetFormatPr defaultColWidth="9" defaultRowHeight="14.5" outlineLevelCol="5"/>
  <cols>
    <col min="1" max="1" width="28" customWidth="1"/>
    <col min="2" max="3" width="14" customWidth="1"/>
    <col min="4" max="4" width="18" customWidth="1"/>
    <col min="5" max="5" width="30" customWidth="1"/>
    <col min="6" max="6" width="4" customWidth="1"/>
  </cols>
  <sheetData>
    <row r="1" ht="18.5" spans="1:1">
      <c r="A1" s="1" t="s">
        <v>41</v>
      </c>
    </row>
    <row r="2" spans="1:6">
      <c r="A2" s="2" t="s">
        <v>42</v>
      </c>
      <c r="B2" s="2" t="s">
        <v>2</v>
      </c>
      <c r="C2" s="2" t="s">
        <v>43</v>
      </c>
      <c r="D2" s="2" t="s">
        <v>44</v>
      </c>
      <c r="E2" s="2" t="s">
        <v>9</v>
      </c>
      <c r="F2" s="2" t="s">
        <v>45</v>
      </c>
    </row>
    <row r="3" spans="1:6">
      <c r="A3" s="2" t="s">
        <v>46</v>
      </c>
      <c r="B3" s="2">
        <v>25</v>
      </c>
      <c r="C3" s="2">
        <v>90</v>
      </c>
      <c r="D3" s="2">
        <f t="shared" ref="D3:D8" si="0">B3/100*C3</f>
        <v>22.5</v>
      </c>
      <c r="E3" s="2" t="s">
        <v>47</v>
      </c>
      <c r="F3" s="2" t="s">
        <v>45</v>
      </c>
    </row>
    <row r="4" spans="1:6">
      <c r="A4" s="2" t="s">
        <v>48</v>
      </c>
      <c r="B4" s="2">
        <v>20</v>
      </c>
      <c r="C4" s="2">
        <v>85</v>
      </c>
      <c r="D4" s="2">
        <f t="shared" si="0"/>
        <v>17</v>
      </c>
      <c r="E4" s="2" t="s">
        <v>49</v>
      </c>
      <c r="F4" s="2" t="s">
        <v>45</v>
      </c>
    </row>
    <row r="5" spans="1:6">
      <c r="A5" s="2" t="s">
        <v>50</v>
      </c>
      <c r="B5" s="2">
        <v>20</v>
      </c>
      <c r="C5" s="2">
        <v>80</v>
      </c>
      <c r="D5" s="2">
        <f t="shared" si="0"/>
        <v>16</v>
      </c>
      <c r="E5" s="2" t="s">
        <v>51</v>
      </c>
      <c r="F5" s="2" t="s">
        <v>45</v>
      </c>
    </row>
    <row r="6" spans="1:6">
      <c r="A6" s="2" t="s">
        <v>52</v>
      </c>
      <c r="B6" s="2">
        <v>15</v>
      </c>
      <c r="C6" s="2">
        <v>75</v>
      </c>
      <c r="D6" s="2">
        <f t="shared" si="0"/>
        <v>11.25</v>
      </c>
      <c r="E6" s="2" t="s">
        <v>53</v>
      </c>
      <c r="F6" s="2" t="s">
        <v>45</v>
      </c>
    </row>
    <row r="7" spans="1:6">
      <c r="A7" s="2" t="s">
        <v>54</v>
      </c>
      <c r="B7" s="2">
        <v>10</v>
      </c>
      <c r="C7" s="2">
        <v>70</v>
      </c>
      <c r="D7" s="2">
        <f t="shared" si="0"/>
        <v>7</v>
      </c>
      <c r="E7" s="2" t="s">
        <v>55</v>
      </c>
      <c r="F7" s="2" t="s">
        <v>45</v>
      </c>
    </row>
    <row r="8" spans="1:6">
      <c r="A8" s="2" t="s">
        <v>56</v>
      </c>
      <c r="B8" s="2">
        <v>10</v>
      </c>
      <c r="C8" s="2">
        <v>65</v>
      </c>
      <c r="D8" s="2">
        <f t="shared" si="0"/>
        <v>6.5</v>
      </c>
      <c r="E8" s="2" t="s">
        <v>57</v>
      </c>
      <c r="F8" s="2" t="s">
        <v>45</v>
      </c>
    </row>
    <row r="9" spans="1:6">
      <c r="A9" s="2" t="s">
        <v>58</v>
      </c>
      <c r="B9" s="2">
        <f>SUM(B3:B8)</f>
        <v>100</v>
      </c>
      <c r="C9" s="2"/>
      <c r="D9" s="2">
        <f>SUM(D3:D8)</f>
        <v>80.25</v>
      </c>
      <c r="E9" s="2"/>
      <c r="F9" s="2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WSM (Mo hinh trong so)</vt:lpstr>
      <vt:lpstr>Tai chinh (NPV_ROI_PB)</vt:lpstr>
      <vt:lpstr>WSM (Theo chuc nang)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007mk</cp:lastModifiedBy>
  <dcterms:created xsi:type="dcterms:W3CDTF">2025-10-27T03:26:00Z</dcterms:created>
  <dcterms:modified xsi:type="dcterms:W3CDTF">2025-10-27T04:05:30Z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6169C64E638E4BF8AAB5E2AEE4436CC7_12</vt:lpwstr>
  </property>
  <property fmtid="{D5CDD505-2E9C-101B-9397-08002B2CF9AE}" pid="3" name="KSOProductBuildVer">
    <vt:lpwstr>2057-12.2.0.23149</vt:lpwstr>
  </property>
</Properties>
</file>